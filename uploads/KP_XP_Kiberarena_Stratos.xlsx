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9D7945C8-F81F-574B-A0E1-46FA6569ADA4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Смет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6" i="1"/>
  <c r="H16" i="1" s="1"/>
  <c r="G14" i="1"/>
  <c r="H14" i="1" s="1"/>
  <c r="G13" i="1"/>
  <c r="H13" i="1" s="1"/>
  <c r="G12" i="1"/>
  <c r="H12" i="1" s="1"/>
  <c r="G5" i="1"/>
  <c r="H5" i="1" s="1"/>
  <c r="H39" i="1" l="1"/>
</calcChain>
</file>

<file path=xl/sharedStrings.xml><?xml version="1.0" encoding="utf-8"?>
<sst xmlns="http://schemas.openxmlformats.org/spreadsheetml/2006/main" count="83" uniqueCount="73">
  <si>
    <t>п/н</t>
  </si>
  <si>
    <t>Позиция</t>
  </si>
  <si>
    <t>Спецификация</t>
  </si>
  <si>
    <t>Кол - во</t>
  </si>
  <si>
    <t>Часы</t>
  </si>
  <si>
    <t>Цена в час</t>
  </si>
  <si>
    <t>Всего</t>
  </si>
  <si>
    <t>Всего за 12 часов</t>
  </si>
  <si>
    <t>Игровое оборудование</t>
  </si>
  <si>
    <t>Системный блок</t>
  </si>
  <si>
    <t>LYAMBDA Россия Core Ultra9 285K/ 32 Гб/ 2 Тб NVMe SSD/ 32 Гб GeForce RTX5090/ Win11 Pro</t>
  </si>
  <si>
    <t>Клавиатура</t>
  </si>
  <si>
    <t>Varmilo VXT67 Eucalyptus</t>
  </si>
  <si>
    <t>Кронштейн</t>
  </si>
  <si>
    <t>ONKRON G70</t>
  </si>
  <si>
    <t>Монитор</t>
  </si>
  <si>
    <t>Asus 24.5” ROG Strix XG259QNS</t>
  </si>
  <si>
    <t>Компьютерная мышь</t>
  </si>
  <si>
    <t>LAMZU &amp; FNATIC Thorn (дополнительная)</t>
  </si>
  <si>
    <t>LAMZU Atlantis MINI PRO (главная сцена)</t>
  </si>
  <si>
    <t>Наушники</t>
  </si>
  <si>
    <t>HyperX Cloud II KHX-HSCP-RD</t>
  </si>
  <si>
    <t>Экран на сцене</t>
  </si>
  <si>
    <t>Разрешение: 3840/2400
 Размер: 5м х 2,7м</t>
  </si>
  <si>
    <t>Дублирующий монитор</t>
  </si>
  <si>
    <t>Uniview (UNV) MW3243-F-V
 * Диагональ: 43 дюйма.
  * Разрешение: 4K UHD (3840×2160).
  * Тип матрицы: IPS (в версии V2).
  * Яркость: 300 кд/м²</t>
  </si>
  <si>
    <t>Игровая консоль</t>
  </si>
  <si>
    <t>PlayStation 5 Pro 2 ТБ</t>
  </si>
  <si>
    <t>Джойстики</t>
  </si>
  <si>
    <t>ТВ</t>
  </si>
  <si>
    <t>Телевизор Samsung QE65QN80FAUXRU 65”
 Диагональ экрана 64.17"
 Разрешение HD Full HD
 Разрешение 3840x2160 4K
 Технология экрана OLED
 Тип подсветки mini-LED
 Частота обновления 120 Гц</t>
  </si>
  <si>
    <t>Трансляционное оборудование</t>
  </si>
  <si>
    <t>LYAMBDA Россия Core Ultra9 285K/ 64Гб/ 2 Тб NVMe SSD/ 32 Гб GeForce RTX5090/ Win11 Pro</t>
  </si>
  <si>
    <t>Звуковой пульт</t>
  </si>
  <si>
    <t>Midas M32R LIVE</t>
  </si>
  <si>
    <t>Звуковое оборудование</t>
  </si>
  <si>
    <t>Потолочная звуковая ссистема
 Активная звуковая колонна Prestel SLA-8 - 4 шт
 Беспроводной ручной микрофон Relacart UH-222</t>
  </si>
  <si>
    <t>Гарнитура</t>
  </si>
  <si>
    <t>Beyerdynamic DT 290 MKII (200/80 Ohm)
 Les AR-212ASM</t>
  </si>
  <si>
    <t>PTZ – Камеры</t>
  </si>
  <si>
    <t>Prestel 4K-PTZ412HSU2N</t>
  </si>
  <si>
    <t>PTZ – Пульт</t>
  </si>
  <si>
    <t>Prestel BCP-40 Prestel KB-IP10</t>
  </si>
  <si>
    <t>POV – Камеры</t>
  </si>
  <si>
    <t>Камера: Lideo STR-12NB (4K)
 • Видео: 4K@60fps (по HDMI), 1080p@60fps (по SDI)
 • Оптика: 12x оптический зум
 • Интерфейсы: HDMI, 3G-SDI, LAN (Gigabit), USB-C 3.0
 • Сеть и протоколы: NDI|HX2, SRT, RTMP(s), поддержка PoE
 • Аудио: Встроенный микрофон + 3.5мм in/out
 • Питание: 12В или через LAN (PoE)</t>
  </si>
  <si>
    <t>Персонал</t>
  </si>
  <si>
    <t>Смена (12 часов)</t>
  </si>
  <si>
    <t>Администратор</t>
  </si>
  <si>
    <t>Отвечает за готовность рабочего места (ПК). Помогает со всем техническим оборудованием ПК, проблемами с игрой, разрешением монитора и тд. 1 специалист на одну зону.</t>
  </si>
  <si>
    <t>Технический администратор</t>
  </si>
  <si>
    <t>Отвечает за все техническое обеспечение площадки. Звук, экран, интернет, прочая комутация, оборудование по трансляции и тд.</t>
  </si>
  <si>
    <t>Хостесс</t>
  </si>
  <si>
    <t>Отвечает за встречу гостей, навигацию на площадке, входная зона</t>
  </si>
  <si>
    <t>Клининг</t>
  </si>
  <si>
    <t xml:space="preserve">Уборка после мероприятия </t>
  </si>
  <si>
    <t>Инженер трансляции</t>
  </si>
  <si>
    <t>Отвечает за техническую поддержку эфира, обеспечивая стабильную работу серверов, энкодеров и каналов связи, чтобы сигнал без потерь и задержек доходил до зрителя на любой платформе. Он контролирует технические параметры видеопотока, битрейт и коммутацию всего парка оборудования, выступая гарантом того, что трансляция не прервется из-за сбоев в сети или железе.</t>
  </si>
  <si>
    <t>Инженер по звуку</t>
  </si>
  <si>
    <t>Создает звуковой ландшафт события, занимаясь расстановкой акустических систем, настройкой радиочастот для микрофонов и маршрутизацией аудиосигналов между всеми участниками процесса.</t>
  </si>
  <si>
    <t xml:space="preserve">Режиссер трансляции </t>
  </si>
  <si>
    <t>Управление трансляцией</t>
  </si>
  <si>
    <t>Режиссер по графике</t>
  </si>
  <si>
    <t>Управление графикой в трансляции</t>
  </si>
  <si>
    <t>Обсервер</t>
  </si>
  <si>
    <t>Управление внутриировым процессом</t>
  </si>
  <si>
    <t>Всего за 12 часов:</t>
  </si>
  <si>
    <t>Примичание:</t>
  </si>
  <si>
    <t>Персонал: Стоимость работы технических специалистов указана за смену (до 12 часов). Работа свыше смены оплачивается дополнительно.</t>
  </si>
  <si>
    <t>Оборудование: Расчет технических средств произведен комплексно за проект, однако по согласованию возможна тарификация отдельных позиций по часам.</t>
  </si>
  <si>
    <t>Дополнительные опции: По запросу Заказчика в смету могут быть включены ведущий, DJ, видеооператоры, декораторы и тд.</t>
  </si>
  <si>
    <t>Кастомизация: Любое дополнительное оборудование, не указанное в базовой спецификации, предоставляется за отдельную плату согласно техническому заданию (ТЗ).</t>
  </si>
  <si>
    <t>Сопутствующие услуги: Возможна организация события «под ключ», включая услуги турнирного оператора, кейтеринг, барное обслуживание, логистику и тд.</t>
  </si>
  <si>
    <r>
      <t xml:space="preserve">Аренда многофункционального пространства — 174 000 ₽ / 12-часовая смена
</t>
    </r>
    <r>
      <rPr>
        <sz val="12"/>
        <color theme="1"/>
        <rFont val="Helvetica"/>
        <family val="2"/>
      </rPr>
      <t>Универсальный формат использования высокотехнологичной площадки для проведения презентаций, лекций и деловых событий. В фиксированную стоимость включен полный цикл технического обеспечения: от предварительной подготовки пространства под задачи заказчика до сопровождения мероприятия штатной командой инженеров (свет, звук, видео). Готовая инфраструктура арены с профессиональным парком оборудования и современным дизайном позволяет реализовать событие любого масштаба без привлечения сторонних подрядчиков и дополнительных затрат на технический сетап.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</si>
</sst>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 ₽]"/>
  </numFmts>
  <fonts count="10" x14ac:knownFonts="1">
    <font>
      <sz val="10"/>
      <color rgb="FF000000"/>
      <name val="Arial"/>
      <scheme val="minor"/>
    </font>
    <font>
      <sz val="10"/>
      <color rgb="FF000000"/>
      <name val="Helvetica"/>
      <family val="2"/>
    </font>
    <font>
      <sz val="10"/>
      <color theme="1"/>
      <name val="Helvetica"/>
      <family val="2"/>
    </font>
    <font>
      <b/>
      <sz val="10"/>
      <color rgb="FF000000"/>
      <name val="Helvetica"/>
      <family val="2"/>
    </font>
    <font>
      <sz val="10"/>
      <name val="Helvetica"/>
      <family val="2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  <font>
      <b/>
      <sz val="14"/>
      <color theme="1"/>
      <name val="Helvetica"/>
      <family val="2"/>
    </font>
    <font>
      <b/>
      <sz val="11"/>
      <color theme="1"/>
      <name val="Helvetica"/>
      <family val="2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C5C2C2"/>
        <bgColor rgb="FFC5C2C2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64" fontId="1" fillId="0" borderId="17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right" vertical="center" wrapText="1"/>
    </xf>
    <xf numFmtId="0" fontId="6" fillId="0" borderId="21" xfId="0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3"/>
  <sheetViews>
    <sheetView tabSelected="1" workbookViewId="0">
      <selection activeCell="A33" sqref="A33"/>
    </sheetView>
  </sheetViews>
  <sheetFormatPr baseColWidth="10" defaultColWidth="12.6640625" defaultRowHeight="15.75" customHeight="1" x14ac:dyDescent="0.15"/>
  <cols>
    <col min="1" max="1" width="11.1640625" style="25" customWidth="1"/>
    <col min="2" max="2" width="30" style="25" customWidth="1"/>
    <col min="3" max="3" width="62" style="25" customWidth="1"/>
    <col min="4" max="7" width="12.6640625" style="25"/>
    <col min="8" max="8" width="17" style="25" customWidth="1"/>
    <col min="9" max="16384" width="12.6640625" style="25"/>
  </cols>
  <sheetData>
    <row r="1" spans="1:25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26"/>
      <c r="B3" s="26"/>
      <c r="C3" s="26"/>
      <c r="D3" s="26"/>
      <c r="E3" s="26"/>
      <c r="F3" s="26"/>
      <c r="G3" s="26"/>
      <c r="H3" s="26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5" t="s">
        <v>8</v>
      </c>
      <c r="B4" s="27"/>
      <c r="C4" s="27"/>
      <c r="D4" s="27"/>
      <c r="E4" s="27"/>
      <c r="F4" s="27"/>
      <c r="G4" s="27"/>
      <c r="H4" s="28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3" customHeight="1" x14ac:dyDescent="0.15">
      <c r="A5" s="6">
        <v>1</v>
      </c>
      <c r="B5" s="6" t="s">
        <v>9</v>
      </c>
      <c r="C5" s="6" t="s">
        <v>10</v>
      </c>
      <c r="D5" s="7">
        <v>20</v>
      </c>
      <c r="E5" s="7">
        <v>1</v>
      </c>
      <c r="F5" s="8">
        <v>870</v>
      </c>
      <c r="G5" s="8">
        <f>D5*E5*F5</f>
        <v>17400</v>
      </c>
      <c r="H5" s="9">
        <f>G5*12</f>
        <v>208800</v>
      </c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10">
        <v>2</v>
      </c>
      <c r="B6" s="10" t="s">
        <v>11</v>
      </c>
      <c r="C6" s="10" t="s">
        <v>12</v>
      </c>
      <c r="D6" s="29"/>
      <c r="E6" s="29"/>
      <c r="F6" s="29"/>
      <c r="G6" s="29"/>
      <c r="H6" s="29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10">
        <v>3</v>
      </c>
      <c r="B7" s="10" t="s">
        <v>13</v>
      </c>
      <c r="C7" s="10" t="s">
        <v>14</v>
      </c>
      <c r="D7" s="29"/>
      <c r="E7" s="29"/>
      <c r="F7" s="29"/>
      <c r="G7" s="29"/>
      <c r="H7" s="29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10">
        <v>4</v>
      </c>
      <c r="B8" s="10" t="s">
        <v>15</v>
      </c>
      <c r="C8" s="10" t="s">
        <v>16</v>
      </c>
      <c r="D8" s="29"/>
      <c r="E8" s="29"/>
      <c r="F8" s="29"/>
      <c r="G8" s="29"/>
      <c r="H8" s="29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10">
        <v>5</v>
      </c>
      <c r="B9" s="10" t="s">
        <v>17</v>
      </c>
      <c r="C9" s="10" t="s">
        <v>18</v>
      </c>
      <c r="D9" s="29"/>
      <c r="E9" s="29"/>
      <c r="F9" s="29"/>
      <c r="G9" s="29"/>
      <c r="H9" s="29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10">
        <v>6</v>
      </c>
      <c r="B10" s="10" t="s">
        <v>17</v>
      </c>
      <c r="C10" s="10" t="s">
        <v>19</v>
      </c>
      <c r="D10" s="29"/>
      <c r="E10" s="29"/>
      <c r="F10" s="29"/>
      <c r="G10" s="29"/>
      <c r="H10" s="29"/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10">
        <v>7</v>
      </c>
      <c r="B11" s="10" t="s">
        <v>20</v>
      </c>
      <c r="C11" s="10" t="s">
        <v>21</v>
      </c>
      <c r="D11" s="30"/>
      <c r="E11" s="30"/>
      <c r="F11" s="30"/>
      <c r="G11" s="30"/>
      <c r="H11" s="30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7" customHeight="1" x14ac:dyDescent="0.15">
      <c r="A12" s="10">
        <v>8</v>
      </c>
      <c r="B12" s="10" t="s">
        <v>22</v>
      </c>
      <c r="C12" s="10" t="s">
        <v>23</v>
      </c>
      <c r="D12" s="10">
        <v>1</v>
      </c>
      <c r="E12" s="10">
        <v>1</v>
      </c>
      <c r="F12" s="11">
        <v>2000</v>
      </c>
      <c r="G12" s="11">
        <f t="shared" ref="G12:G14" si="0">D12*E12*F12</f>
        <v>2000</v>
      </c>
      <c r="H12" s="11">
        <f t="shared" ref="H12:H14" si="1">G12*12</f>
        <v>24000</v>
      </c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89" customHeight="1" x14ac:dyDescent="0.15">
      <c r="A13" s="10">
        <v>9</v>
      </c>
      <c r="B13" s="10" t="s">
        <v>24</v>
      </c>
      <c r="C13" s="10" t="s">
        <v>25</v>
      </c>
      <c r="D13" s="10">
        <v>10</v>
      </c>
      <c r="E13" s="10">
        <v>1</v>
      </c>
      <c r="F13" s="11">
        <v>200</v>
      </c>
      <c r="G13" s="11">
        <f t="shared" si="0"/>
        <v>2000</v>
      </c>
      <c r="H13" s="11">
        <f t="shared" si="1"/>
        <v>24000</v>
      </c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10">
        <v>10</v>
      </c>
      <c r="B14" s="10" t="s">
        <v>26</v>
      </c>
      <c r="C14" s="10" t="s">
        <v>27</v>
      </c>
      <c r="D14" s="10">
        <v>4</v>
      </c>
      <c r="E14" s="10">
        <v>1</v>
      </c>
      <c r="F14" s="9">
        <v>600</v>
      </c>
      <c r="G14" s="9">
        <f t="shared" si="0"/>
        <v>2400</v>
      </c>
      <c r="H14" s="9">
        <f t="shared" si="1"/>
        <v>28800</v>
      </c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10">
        <v>11</v>
      </c>
      <c r="B15" s="10" t="s">
        <v>28</v>
      </c>
      <c r="C15" s="10"/>
      <c r="D15" s="10">
        <v>8</v>
      </c>
      <c r="E15" s="10">
        <v>1</v>
      </c>
      <c r="F15" s="30"/>
      <c r="G15" s="30"/>
      <c r="H15" s="30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15" customHeight="1" x14ac:dyDescent="0.15">
      <c r="A16" s="12">
        <v>12</v>
      </c>
      <c r="B16" s="12" t="s">
        <v>29</v>
      </c>
      <c r="C16" s="12" t="s">
        <v>30</v>
      </c>
      <c r="D16" s="12">
        <v>4</v>
      </c>
      <c r="E16" s="12">
        <v>1</v>
      </c>
      <c r="F16" s="13">
        <v>250</v>
      </c>
      <c r="G16" s="13">
        <f>D16*E16*F16</f>
        <v>1000</v>
      </c>
      <c r="H16" s="11">
        <f>G16*12</f>
        <v>12000</v>
      </c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5" t="s">
        <v>31</v>
      </c>
      <c r="B17" s="27"/>
      <c r="C17" s="27"/>
      <c r="D17" s="27"/>
      <c r="E17" s="27"/>
      <c r="F17" s="27"/>
      <c r="G17" s="27"/>
      <c r="H17" s="28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35" customHeight="1" x14ac:dyDescent="0.15">
      <c r="A18" s="6">
        <v>1</v>
      </c>
      <c r="B18" s="6" t="s">
        <v>9</v>
      </c>
      <c r="C18" s="6" t="s">
        <v>32</v>
      </c>
      <c r="D18" s="6">
        <v>2</v>
      </c>
      <c r="E18" s="6">
        <v>1</v>
      </c>
      <c r="F18" s="14">
        <v>475</v>
      </c>
      <c r="G18" s="14">
        <f t="shared" ref="G18:G25" si="2">D18*E18*F18</f>
        <v>950</v>
      </c>
      <c r="H18" s="11">
        <f t="shared" ref="H18:H25" si="3">G18*12</f>
        <v>11400</v>
      </c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10">
        <v>2</v>
      </c>
      <c r="B19" s="10" t="s">
        <v>15</v>
      </c>
      <c r="C19" s="10" t="s">
        <v>16</v>
      </c>
      <c r="D19" s="10">
        <v>7</v>
      </c>
      <c r="E19" s="10">
        <v>1</v>
      </c>
      <c r="F19" s="11">
        <v>150</v>
      </c>
      <c r="G19" s="11">
        <f t="shared" si="2"/>
        <v>1050</v>
      </c>
      <c r="H19" s="11">
        <f t="shared" si="3"/>
        <v>12600</v>
      </c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10">
        <v>3</v>
      </c>
      <c r="B20" s="10" t="s">
        <v>33</v>
      </c>
      <c r="C20" s="10" t="s">
        <v>34</v>
      </c>
      <c r="D20" s="10">
        <v>1</v>
      </c>
      <c r="E20" s="10">
        <v>1</v>
      </c>
      <c r="F20" s="11">
        <v>600</v>
      </c>
      <c r="G20" s="11">
        <f t="shared" si="2"/>
        <v>600</v>
      </c>
      <c r="H20" s="11">
        <f t="shared" si="3"/>
        <v>7200</v>
      </c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62" customHeight="1" x14ac:dyDescent="0.15">
      <c r="A21" s="10">
        <v>4</v>
      </c>
      <c r="B21" s="10" t="s">
        <v>35</v>
      </c>
      <c r="C21" s="10" t="s">
        <v>36</v>
      </c>
      <c r="D21" s="10">
        <v>1</v>
      </c>
      <c r="E21" s="10">
        <v>1</v>
      </c>
      <c r="F21" s="11">
        <v>400</v>
      </c>
      <c r="G21" s="11">
        <f t="shared" si="2"/>
        <v>400</v>
      </c>
      <c r="H21" s="11">
        <f t="shared" si="3"/>
        <v>4800</v>
      </c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3" customHeight="1" x14ac:dyDescent="0.15">
      <c r="A22" s="10">
        <v>5</v>
      </c>
      <c r="B22" s="10" t="s">
        <v>37</v>
      </c>
      <c r="C22" s="10" t="s">
        <v>38</v>
      </c>
      <c r="D22" s="10">
        <v>3</v>
      </c>
      <c r="E22" s="10">
        <v>1</v>
      </c>
      <c r="F22" s="11">
        <v>350</v>
      </c>
      <c r="G22" s="11">
        <f t="shared" si="2"/>
        <v>1050</v>
      </c>
      <c r="H22" s="11">
        <f t="shared" si="3"/>
        <v>12600</v>
      </c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10">
        <v>6</v>
      </c>
      <c r="B23" s="10" t="s">
        <v>39</v>
      </c>
      <c r="C23" s="10" t="s">
        <v>40</v>
      </c>
      <c r="D23" s="10">
        <v>5</v>
      </c>
      <c r="E23" s="10">
        <v>1</v>
      </c>
      <c r="F23" s="11">
        <v>380</v>
      </c>
      <c r="G23" s="11">
        <f t="shared" si="2"/>
        <v>1900</v>
      </c>
      <c r="H23" s="11">
        <f t="shared" si="3"/>
        <v>22800</v>
      </c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10">
        <v>7</v>
      </c>
      <c r="B24" s="10" t="s">
        <v>41</v>
      </c>
      <c r="C24" s="10" t="s">
        <v>42</v>
      </c>
      <c r="D24" s="10">
        <v>1</v>
      </c>
      <c r="E24" s="10">
        <v>1</v>
      </c>
      <c r="F24" s="11">
        <v>300</v>
      </c>
      <c r="G24" s="11">
        <f t="shared" si="2"/>
        <v>300</v>
      </c>
      <c r="H24" s="11">
        <f t="shared" si="3"/>
        <v>3600</v>
      </c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04" customHeight="1" x14ac:dyDescent="0.15">
      <c r="A25" s="12">
        <v>8</v>
      </c>
      <c r="B25" s="12" t="s">
        <v>43</v>
      </c>
      <c r="C25" s="12" t="s">
        <v>44</v>
      </c>
      <c r="D25" s="12">
        <v>10</v>
      </c>
      <c r="E25" s="12">
        <v>1</v>
      </c>
      <c r="F25" s="13">
        <v>200</v>
      </c>
      <c r="G25" s="13">
        <f t="shared" si="2"/>
        <v>2000</v>
      </c>
      <c r="H25" s="13">
        <f t="shared" si="3"/>
        <v>24000</v>
      </c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15" t="s">
        <v>45</v>
      </c>
      <c r="B26" s="31"/>
      <c r="C26" s="31"/>
      <c r="D26" s="31"/>
      <c r="E26" s="31"/>
      <c r="F26" s="31"/>
      <c r="G26" s="31"/>
      <c r="H26" s="3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3" t="s">
        <v>0</v>
      </c>
      <c r="B27" s="4" t="s">
        <v>1</v>
      </c>
      <c r="C27" s="4" t="s">
        <v>2</v>
      </c>
      <c r="D27" s="4" t="s">
        <v>3</v>
      </c>
      <c r="E27" s="16" t="s">
        <v>46</v>
      </c>
      <c r="F27" s="33"/>
      <c r="G27" s="16" t="s">
        <v>6</v>
      </c>
      <c r="H27" s="4" t="s">
        <v>7</v>
      </c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6"/>
      <c r="B28" s="26"/>
      <c r="C28" s="26"/>
      <c r="D28" s="26"/>
      <c r="E28" s="34"/>
      <c r="F28" s="35"/>
      <c r="G28" s="34"/>
      <c r="H28" s="26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64" customHeight="1" x14ac:dyDescent="0.15">
      <c r="A29" s="6">
        <v>1</v>
      </c>
      <c r="B29" s="6" t="s">
        <v>47</v>
      </c>
      <c r="C29" s="6" t="s">
        <v>48</v>
      </c>
      <c r="D29" s="6">
        <v>1</v>
      </c>
      <c r="E29" s="17">
        <v>7800</v>
      </c>
      <c r="F29" s="36"/>
      <c r="G29" s="14">
        <f t="shared" ref="G29:G37" si="4">D29*E29</f>
        <v>7800</v>
      </c>
      <c r="H29" s="14">
        <f t="shared" ref="H29:H37" si="5">G29</f>
        <v>7800</v>
      </c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59" customHeight="1" x14ac:dyDescent="0.15">
      <c r="A30" s="10">
        <v>2</v>
      </c>
      <c r="B30" s="10" t="s">
        <v>49</v>
      </c>
      <c r="C30" s="10" t="s">
        <v>50</v>
      </c>
      <c r="D30" s="10">
        <v>1</v>
      </c>
      <c r="E30" s="18">
        <v>14400</v>
      </c>
      <c r="F30" s="37"/>
      <c r="G30" s="11">
        <f t="shared" si="4"/>
        <v>14400</v>
      </c>
      <c r="H30" s="11">
        <f t="shared" si="5"/>
        <v>14400</v>
      </c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5" customHeight="1" x14ac:dyDescent="0.15">
      <c r="A31" s="10">
        <v>3</v>
      </c>
      <c r="B31" s="10" t="s">
        <v>51</v>
      </c>
      <c r="C31" s="10" t="s">
        <v>52</v>
      </c>
      <c r="D31" s="10">
        <v>1</v>
      </c>
      <c r="E31" s="18">
        <v>10000</v>
      </c>
      <c r="F31" s="37"/>
      <c r="G31" s="11">
        <f t="shared" si="4"/>
        <v>10000</v>
      </c>
      <c r="H31" s="11">
        <f t="shared" si="5"/>
        <v>10000</v>
      </c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1" customHeight="1" x14ac:dyDescent="0.15">
      <c r="A32" s="6">
        <v>4</v>
      </c>
      <c r="B32" s="10" t="s">
        <v>53</v>
      </c>
      <c r="C32" s="10" t="s">
        <v>54</v>
      </c>
      <c r="D32" s="10">
        <v>1</v>
      </c>
      <c r="E32" s="18">
        <v>6000</v>
      </c>
      <c r="F32" s="37"/>
      <c r="G32" s="11">
        <f t="shared" si="4"/>
        <v>6000</v>
      </c>
      <c r="H32" s="11">
        <f t="shared" si="5"/>
        <v>6000</v>
      </c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87" customHeight="1" x14ac:dyDescent="0.15">
      <c r="A33" s="10">
        <v>5</v>
      </c>
      <c r="B33" s="19" t="s">
        <v>55</v>
      </c>
      <c r="C33" s="19" t="s">
        <v>56</v>
      </c>
      <c r="D33" s="19">
        <v>1</v>
      </c>
      <c r="E33" s="18">
        <v>25000</v>
      </c>
      <c r="F33" s="37"/>
      <c r="G33" s="11">
        <f t="shared" si="4"/>
        <v>25000</v>
      </c>
      <c r="H33" s="11">
        <f t="shared" si="5"/>
        <v>25000</v>
      </c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56" customHeight="1" x14ac:dyDescent="0.15">
      <c r="A34" s="10">
        <v>6</v>
      </c>
      <c r="B34" s="19" t="s">
        <v>57</v>
      </c>
      <c r="C34" s="19" t="s">
        <v>58</v>
      </c>
      <c r="D34" s="19">
        <v>1</v>
      </c>
      <c r="E34" s="18">
        <v>18000</v>
      </c>
      <c r="F34" s="37"/>
      <c r="G34" s="11">
        <f t="shared" si="4"/>
        <v>18000</v>
      </c>
      <c r="H34" s="11">
        <f t="shared" si="5"/>
        <v>18000</v>
      </c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1" customHeight="1" x14ac:dyDescent="0.15">
      <c r="A35" s="6">
        <v>7</v>
      </c>
      <c r="B35" s="19" t="s">
        <v>59</v>
      </c>
      <c r="C35" s="19" t="s">
        <v>60</v>
      </c>
      <c r="D35" s="19">
        <v>1</v>
      </c>
      <c r="E35" s="18">
        <v>25000</v>
      </c>
      <c r="F35" s="37"/>
      <c r="G35" s="11">
        <f t="shared" si="4"/>
        <v>25000</v>
      </c>
      <c r="H35" s="11">
        <f t="shared" si="5"/>
        <v>25000</v>
      </c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1" customHeight="1" x14ac:dyDescent="0.15">
      <c r="A36" s="10">
        <v>8</v>
      </c>
      <c r="B36" s="19" t="s">
        <v>61</v>
      </c>
      <c r="C36" s="19" t="s">
        <v>62</v>
      </c>
      <c r="D36" s="19">
        <v>1</v>
      </c>
      <c r="E36" s="18">
        <v>20000</v>
      </c>
      <c r="F36" s="37"/>
      <c r="G36" s="11">
        <f t="shared" si="4"/>
        <v>20000</v>
      </c>
      <c r="H36" s="11">
        <f t="shared" si="5"/>
        <v>20000</v>
      </c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1" customHeight="1" x14ac:dyDescent="0.15">
      <c r="A37" s="10">
        <v>9</v>
      </c>
      <c r="B37" s="19" t="s">
        <v>63</v>
      </c>
      <c r="C37" s="19" t="s">
        <v>64</v>
      </c>
      <c r="D37" s="19">
        <v>1</v>
      </c>
      <c r="E37" s="18">
        <v>20000</v>
      </c>
      <c r="F37" s="37"/>
      <c r="G37" s="11">
        <f t="shared" si="4"/>
        <v>20000</v>
      </c>
      <c r="H37" s="11">
        <f t="shared" si="5"/>
        <v>20000</v>
      </c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0" t="s">
        <v>65</v>
      </c>
      <c r="G39" s="32"/>
      <c r="H39" s="21">
        <f>SUM(H3:H37)</f>
        <v>542800</v>
      </c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2" t="s">
        <v>66</v>
      </c>
      <c r="C40" s="2"/>
      <c r="D40" s="2"/>
      <c r="E40" s="2"/>
      <c r="F40" s="2"/>
      <c r="G40" s="2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3" t="s">
        <v>67</v>
      </c>
      <c r="C41" s="38"/>
      <c r="D41" s="38"/>
      <c r="E41" s="38"/>
      <c r="F41" s="38"/>
      <c r="G41" s="38"/>
      <c r="H41" s="38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3" t="s">
        <v>68</v>
      </c>
      <c r="C42" s="38"/>
      <c r="D42" s="38"/>
      <c r="E42" s="38"/>
      <c r="F42" s="38"/>
      <c r="G42" s="38"/>
      <c r="H42" s="38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3" t="s">
        <v>69</v>
      </c>
      <c r="C43" s="38"/>
      <c r="D43" s="38"/>
      <c r="E43" s="38"/>
      <c r="F43" s="38"/>
      <c r="G43" s="38"/>
      <c r="H43" s="38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3" t="s">
        <v>70</v>
      </c>
      <c r="C44" s="38"/>
      <c r="D44" s="38"/>
      <c r="E44" s="38"/>
      <c r="F44" s="38"/>
      <c r="G44" s="38"/>
      <c r="H44" s="38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3" t="s">
        <v>71</v>
      </c>
      <c r="C45" s="38"/>
      <c r="D45" s="38"/>
      <c r="E45" s="38"/>
      <c r="F45" s="38"/>
      <c r="G45" s="38"/>
      <c r="H45" s="38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4" t="s">
        <v>72</v>
      </c>
      <c r="C47" s="38"/>
      <c r="D47" s="38"/>
      <c r="E47" s="38"/>
      <c r="F47" s="38"/>
      <c r="G47" s="38"/>
      <c r="H47" s="38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38"/>
      <c r="C48" s="38"/>
      <c r="D48" s="38"/>
      <c r="E48" s="38"/>
      <c r="F48" s="38"/>
      <c r="G48" s="38"/>
      <c r="H48" s="38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38"/>
      <c r="C49" s="38"/>
      <c r="D49" s="38"/>
      <c r="E49" s="38"/>
      <c r="F49" s="38"/>
      <c r="G49" s="38"/>
      <c r="H49" s="38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38"/>
      <c r="C50" s="38"/>
      <c r="D50" s="38"/>
      <c r="E50" s="38"/>
      <c r="F50" s="38"/>
      <c r="G50" s="38"/>
      <c r="H50" s="38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38"/>
      <c r="C51" s="38"/>
      <c r="D51" s="38"/>
      <c r="E51" s="38"/>
      <c r="F51" s="38"/>
      <c r="G51" s="38"/>
      <c r="H51" s="38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38"/>
      <c r="C52" s="38"/>
      <c r="D52" s="38"/>
      <c r="E52" s="38"/>
      <c r="F52" s="38"/>
      <c r="G52" s="38"/>
      <c r="H52" s="38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38"/>
      <c r="C53" s="38"/>
      <c r="D53" s="38"/>
      <c r="E53" s="38"/>
      <c r="F53" s="38"/>
      <c r="G53" s="38"/>
      <c r="H53" s="38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" x14ac:dyDescent="0.15">
      <c r="A60" s="2"/>
      <c r="B60" s="2"/>
      <c r="C60" s="2"/>
      <c r="D60" s="2"/>
      <c r="E60" s="2"/>
      <c r="F60" s="2"/>
      <c r="G60" s="2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" x14ac:dyDescent="0.15">
      <c r="A61" s="2"/>
      <c r="B61" s="2"/>
      <c r="C61" s="2"/>
      <c r="D61" s="2"/>
      <c r="E61" s="2"/>
      <c r="F61" s="2"/>
      <c r="G61" s="2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" x14ac:dyDescent="0.15">
      <c r="A62" s="2"/>
      <c r="B62" s="2"/>
      <c r="C62" s="2"/>
      <c r="D62" s="2"/>
      <c r="E62" s="2"/>
      <c r="F62" s="2"/>
      <c r="G62" s="2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" x14ac:dyDescent="0.15">
      <c r="A63" s="2"/>
      <c r="B63" s="2"/>
      <c r="C63" s="2"/>
      <c r="D63" s="2"/>
      <c r="E63" s="2"/>
      <c r="F63" s="2"/>
      <c r="G63" s="2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1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1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1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1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1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1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1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1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1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1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1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1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1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1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1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1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1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1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1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1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1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1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1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1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1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1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1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1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1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1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1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1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1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1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1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1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1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1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1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1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1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1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1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1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1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1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1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1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1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1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1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1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1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1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1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1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1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1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1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1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1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1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1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1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1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1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1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1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1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1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1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1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1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1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1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1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1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1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1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1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1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1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1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1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1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1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1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1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1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1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1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1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1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1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1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1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1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1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1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1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1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1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1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1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1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1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1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1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1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1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1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1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1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1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1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1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1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1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1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1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1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1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1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1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1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1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1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1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1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1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1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1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1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1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1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1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1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1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1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1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1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1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1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1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1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1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1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1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1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1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1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1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1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1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1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1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1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1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1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1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1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1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1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1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1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1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1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1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1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1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1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1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1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1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1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1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1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1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1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1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1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1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1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1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1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1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1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1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1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1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1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1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1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1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1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1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1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1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1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1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1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1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1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1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1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1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1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1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1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1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1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1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1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1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1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1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1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1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1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1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1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1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1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1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1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1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1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1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1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1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1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1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1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1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1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1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1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1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1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1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1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1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1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1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1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1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1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1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1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1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1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1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1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1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1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1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1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1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1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1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1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1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1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1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1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1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1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1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1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1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1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1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1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1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1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1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1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1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1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1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1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1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1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1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1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1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1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1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1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1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1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1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1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1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1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1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1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1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1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1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1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1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1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1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1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1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1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1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1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1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1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1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1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1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1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1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1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1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1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1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1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1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1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1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1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1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1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1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1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1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1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1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1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1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1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1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1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1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</sheetData>
  <mergeCells count="42">
    <mergeCell ref="G2:G3"/>
    <mergeCell ref="A4:H4"/>
    <mergeCell ref="H2:H3"/>
    <mergeCell ref="E34:F34"/>
    <mergeCell ref="E35:F35"/>
    <mergeCell ref="A2:A3"/>
    <mergeCell ref="B2:B3"/>
    <mergeCell ref="C2:C3"/>
    <mergeCell ref="E2:E3"/>
    <mergeCell ref="F2:F3"/>
    <mergeCell ref="E29:F29"/>
    <mergeCell ref="E30:F30"/>
    <mergeCell ref="E31:F31"/>
    <mergeCell ref="E32:F32"/>
    <mergeCell ref="E33:F33"/>
    <mergeCell ref="E27:F28"/>
    <mergeCell ref="A27:A28"/>
    <mergeCell ref="A26:H26"/>
    <mergeCell ref="A17:H17"/>
    <mergeCell ref="H5:H11"/>
    <mergeCell ref="H14:H15"/>
    <mergeCell ref="B43:H43"/>
    <mergeCell ref="B44:H44"/>
    <mergeCell ref="B45:H45"/>
    <mergeCell ref="B47:H53"/>
    <mergeCell ref="D2:D3"/>
    <mergeCell ref="D5:D11"/>
    <mergeCell ref="E5:E11"/>
    <mergeCell ref="F5:F11"/>
    <mergeCell ref="G5:G11"/>
    <mergeCell ref="F14:F15"/>
    <mergeCell ref="G14:G15"/>
    <mergeCell ref="G27:G28"/>
    <mergeCell ref="H27:H28"/>
    <mergeCell ref="B27:B28"/>
    <mergeCell ref="C27:C28"/>
    <mergeCell ref="D27:D28"/>
    <mergeCell ref="E36:F36"/>
    <mergeCell ref="E37:F37"/>
    <mergeCell ref="F39:G39"/>
    <mergeCell ref="B41:H41"/>
    <mergeCell ref="B42:H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SupProd</cp:lastModifiedBy>
  <dcterms:modified xsi:type="dcterms:W3CDTF">2026-05-12T15:43:55Z</dcterms:modified>
</cp:coreProperties>
</file>